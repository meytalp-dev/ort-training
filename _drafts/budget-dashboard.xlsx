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קציב רגיל" sheetId="1" state="visible" r:id="rId1"/>
    <sheet name="סל חינוך מיוחד" sheetId="2" state="visible" r:id="rId2"/>
    <sheet name="שיפוצ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F6D5"/>
      </patternFill>
    </fill>
    <fill>
      <patternFill patternType="solid">
        <fgColor rgb="00FED7D7"/>
      </patternFill>
    </fill>
    <fill>
      <patternFill patternType="solid">
        <fgColor rgb="00FEFCBF"/>
      </patternFill>
    </fill>
    <fill>
      <patternFill patternType="solid">
        <fgColor rgb="00EDF2F7"/>
      </patternFill>
    </fill>
    <fill>
      <patternFill patternType="solid">
        <fgColor rgb="00E9D8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3" fontId="0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right" vertical="center" wrapText="1"/>
    </xf>
    <xf numFmtId="3" fontId="0" fillId="4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right" vertical="center" wrapText="1"/>
    </xf>
    <xf numFmtId="3" fontId="0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3" fontId="2" fillId="6" borderId="1" applyAlignment="1" pivotButton="0" quotePrefix="0" xfId="0">
      <alignment horizontal="right" vertical="center" wrapText="1"/>
    </xf>
    <xf numFmtId="0" fontId="0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25" customWidth="1" min="5" max="5"/>
    <col width="55" customWidth="1" min="6" max="6"/>
    <col width="16" customWidth="1" min="7" max="7"/>
  </cols>
  <sheetData>
    <row r="1">
      <c r="A1" s="1" t="inlineStr">
        <is>
          <t>תאריך</t>
        </is>
      </c>
      <c r="B1" s="1" t="inlineStr">
        <is>
          <t>סוג</t>
        </is>
      </c>
      <c r="C1" s="1" t="inlineStr">
        <is>
          <t>שעות</t>
        </is>
      </c>
      <c r="D1" s="1" t="inlineStr">
        <is>
          <t>שווי ש"ח</t>
        </is>
      </c>
      <c r="E1" s="1" t="inlineStr">
        <is>
          <t>שולח/מקור</t>
        </is>
      </c>
      <c r="F1" s="1" t="inlineStr">
        <is>
          <t>פרטים</t>
        </is>
      </c>
      <c r="G1" s="1" t="inlineStr">
        <is>
          <t>סטטוס</t>
        </is>
      </c>
    </row>
    <row r="2">
      <c r="A2" s="2" t="inlineStr">
        <is>
          <t>ספט' 2025</t>
        </is>
      </c>
      <c r="B2" s="2" t="inlineStr">
        <is>
          <t>הכנסה</t>
        </is>
      </c>
      <c r="C2" s="3" t="n">
        <v>634</v>
      </c>
      <c r="D2" s="3" t="n">
        <v>3804000</v>
      </c>
      <c r="E2" s="2" t="inlineStr">
        <is>
          <t>תקציב שנתי אורט</t>
        </is>
      </c>
      <c r="F2" s="2" t="inlineStr">
        <is>
          <t>תקן (624) + אפקטיביות (10)</t>
        </is>
      </c>
      <c r="G2" s="2" t="inlineStr">
        <is>
          <t>מאושר</t>
        </is>
      </c>
    </row>
    <row r="3">
      <c r="A3" s="2" t="inlineStr">
        <is>
          <t>ספט' 2025</t>
        </is>
      </c>
      <c r="B3" s="2" t="inlineStr">
        <is>
          <t>הכנסה</t>
        </is>
      </c>
      <c r="C3" s="3" t="n">
        <v>37</v>
      </c>
      <c r="D3" s="3" t="n">
        <v>222000</v>
      </c>
      <c r="E3" s="2" t="inlineStr">
        <is>
          <t>תוספתיות משה"ע + חנ"מ</t>
        </is>
      </c>
      <c r="F3" s="2" t="inlineStr">
        <is>
          <t>34 ש"ש + 3 ש"ב</t>
        </is>
      </c>
      <c r="G3" s="2" t="inlineStr">
        <is>
          <t>מאושר</t>
        </is>
      </c>
    </row>
    <row r="4">
      <c r="A4" s="2" t="inlineStr">
        <is>
          <t>19.10.25</t>
        </is>
      </c>
      <c r="B4" s="2" t="inlineStr">
        <is>
          <t>הכנסה</t>
        </is>
      </c>
      <c r="C4" s="3" t="n">
        <v>50</v>
      </c>
      <c r="D4" s="3" t="n">
        <v>300000</v>
      </c>
      <c r="E4" s="2" t="inlineStr">
        <is>
          <t>שלומית אורנשטיין</t>
        </is>
      </c>
      <c r="F4" s="2" t="inlineStr">
        <is>
          <t>פעימה ראשונה תוספתיות</t>
        </is>
      </c>
      <c r="G4" s="2" t="inlineStr">
        <is>
          <t>מאושר</t>
        </is>
      </c>
    </row>
    <row r="5">
      <c r="A5" s="2" t="inlineStr">
        <is>
          <t>8.2.26</t>
        </is>
      </c>
      <c r="B5" s="2" t="inlineStr">
        <is>
          <t>הכנסה</t>
        </is>
      </c>
      <c r="C5" s="3" t="n">
        <v>80</v>
      </c>
      <c r="D5" s="3" t="n">
        <v>480000</v>
      </c>
      <c r="E5" s="2" t="inlineStr">
        <is>
          <t>רויטל אמיר</t>
        </is>
      </c>
      <c r="F5" s="2" t="inlineStr">
        <is>
          <t>אישור המרת שעות תקן — פעילויות נוספות</t>
        </is>
      </c>
      <c r="G5" s="2" t="inlineStr">
        <is>
          <t>מאושר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</row>
    <row r="7">
      <c r="A7" s="5" t="inlineStr">
        <is>
          <t>10.2.26</t>
        </is>
      </c>
      <c r="B7" s="5" t="inlineStr">
        <is>
          <t>גריעה</t>
        </is>
      </c>
      <c r="C7" s="6" t="n">
        <v>-60</v>
      </c>
      <c r="D7" s="6" t="n">
        <v>-360000</v>
      </c>
      <c r="E7" s="5" t="inlineStr">
        <is>
          <t>אפרת כהן / שלומית</t>
        </is>
      </c>
      <c r="F7" s="5" t="inlineStr">
        <is>
          <t>ירידה מ-205 ל-185 תלמידים</t>
        </is>
      </c>
      <c r="G7" s="5" t="inlineStr">
        <is>
          <t>בוצע</t>
        </is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>
      <c r="A9" s="7" t="inlineStr">
        <is>
          <t>13.1.26</t>
        </is>
      </c>
      <c r="B9" s="7" t="inlineStr">
        <is>
          <t>הוצאה</t>
        </is>
      </c>
      <c r="C9" s="8" t="n">
        <v>33</v>
      </c>
      <c r="D9" s="8" t="n">
        <v>198000</v>
      </c>
      <c r="E9" s="7" t="inlineStr">
        <is>
          <t>מייטל → ענת + אפרת</t>
        </is>
      </c>
      <c r="F9" s="7" t="inlineStr">
        <is>
          <t>תכנון תקציבי ארגוניות</t>
        </is>
      </c>
      <c r="G9" s="7" t="inlineStr">
        <is>
          <t>אושר</t>
        </is>
      </c>
    </row>
    <row r="10">
      <c r="A10" s="7" t="inlineStr">
        <is>
          <t>25.1.26</t>
        </is>
      </c>
      <c r="B10" s="7" t="inlineStr">
        <is>
          <t>הוצאה</t>
        </is>
      </c>
      <c r="C10" s="8" t="n">
        <v>5</v>
      </c>
      <c r="D10" s="8" t="n">
        <v>30000</v>
      </c>
      <c r="E10" s="7" t="inlineStr">
        <is>
          <t>מייטל → אפרת</t>
        </is>
      </c>
      <c r="F10" s="7" t="inlineStr">
        <is>
          <t>המרה זמנית — שכר לינוי בנג'י</t>
        </is>
      </c>
      <c r="G10" s="7" t="inlineStr">
        <is>
          <t>אושר</t>
        </is>
      </c>
    </row>
    <row r="11">
      <c r="A11" s="7" t="inlineStr">
        <is>
          <t>8.2.26</t>
        </is>
      </c>
      <c r="B11" s="7" t="inlineStr">
        <is>
          <t>הוצאה</t>
        </is>
      </c>
      <c r="C11" s="8" t="n">
        <v>80</v>
      </c>
      <c r="D11" s="8" t="n">
        <v>520000</v>
      </c>
      <c r="E11" s="7" t="inlineStr">
        <is>
          <t>מייטל → אפרת + שלומית</t>
        </is>
      </c>
      <c r="F11" s="7" t="inlineStr">
        <is>
          <t>המרה 80 ש"ש (הצטיידות, צוות צעיר, שיפוצים, טיולים, סמינר)</t>
        </is>
      </c>
      <c r="G11" s="7" t="inlineStr">
        <is>
          <t>צומצם ל-70</t>
        </is>
      </c>
    </row>
    <row r="12">
      <c r="A12" s="7" t="inlineStr">
        <is>
          <t>9.2.26</t>
        </is>
      </c>
      <c r="B12" s="7" t="inlineStr">
        <is>
          <t>הוצאה</t>
        </is>
      </c>
      <c r="C12" s="8" t="n">
        <v>70</v>
      </c>
      <c r="D12" s="8" t="n">
        <v>420000</v>
      </c>
      <c r="E12" s="7" t="inlineStr">
        <is>
          <t>מייטל → שלומית</t>
        </is>
      </c>
      <c r="F12" s="7" t="inlineStr">
        <is>
          <t>תוכנית מעודכנת: הצטיידות 100K, בישול 50K, צוות צעיר 50K, שיפוצים 100K, טיולים 100K, סמינר 20K</t>
        </is>
      </c>
      <c r="G12" s="7" t="inlineStr">
        <is>
          <t>בבדיקה</t>
        </is>
      </c>
    </row>
    <row r="13">
      <c r="A13" s="7" t="inlineStr">
        <is>
          <t>26.2.26</t>
        </is>
      </c>
      <c r="B13" s="7" t="inlineStr">
        <is>
          <t>הוצאה</t>
        </is>
      </c>
      <c r="C13" s="8" t="n">
        <v>60</v>
      </c>
      <c r="D13" s="8" t="n">
        <v>350000</v>
      </c>
      <c r="E13" s="7" t="inlineStr">
        <is>
          <t>מייטל → אפרת</t>
        </is>
      </c>
      <c r="F13" s="7" t="inlineStr">
        <is>
          <t>60 תוספתיות: הצטיידות 100K, צוות צעיר 50K, שיפוצים 80K, טיולים 100K, סמינר 20K</t>
        </is>
      </c>
      <c r="G13" s="7" t="inlineStr">
        <is>
          <t>חלקי</t>
        </is>
      </c>
    </row>
    <row r="14">
      <c r="A14" s="7" t="inlineStr">
        <is>
          <t>~26.2.26</t>
        </is>
      </c>
      <c r="B14" s="7" t="inlineStr">
        <is>
          <t>הוצאה</t>
        </is>
      </c>
      <c r="C14" s="8" t="n">
        <v>30</v>
      </c>
      <c r="D14" s="8" t="n">
        <v>180000</v>
      </c>
      <c r="E14" s="7" t="inlineStr">
        <is>
          <t>מייטל → אפרת</t>
        </is>
      </c>
      <c r="F14" s="7" t="inlineStr">
        <is>
          <t>העברת משרות מתקן לחנ"מ: קוסקס 12, בנימין 8, רובבשי 6, שאזו 4</t>
        </is>
      </c>
      <c r="G14" s="7" t="inlineStr">
        <is>
          <t>טיוטה</t>
        </is>
      </c>
    </row>
    <row r="15">
      <c r="A15" s="7" t="inlineStr">
        <is>
          <t>8.2.26</t>
        </is>
      </c>
      <c r="B15" s="7" t="inlineStr">
        <is>
          <t>הוצאה</t>
        </is>
      </c>
      <c r="C15" s="8" t="n">
        <v>5</v>
      </c>
      <c r="D15" s="8" t="n">
        <v>30000</v>
      </c>
      <c r="E15" s="7" t="inlineStr">
        <is>
          <t>אפרת כהן</t>
        </is>
      </c>
      <c r="F15" s="7" t="inlineStr">
        <is>
          <t>גריעת 5 ש"ש קוד 1750 — לינוי בנג'י</t>
        </is>
      </c>
      <c r="G15" s="7" t="inlineStr">
        <is>
          <t>בוצע</t>
        </is>
      </c>
    </row>
    <row r="16"/>
    <row r="17">
      <c r="A17" s="9" t="inlineStr"/>
      <c r="B17" s="9" t="inlineStr">
        <is>
          <t>סה"כ הכנסות</t>
        </is>
      </c>
      <c r="C17" s="9">
        <f>C2+C3+C4+C5</f>
        <v/>
      </c>
      <c r="D17" s="9">
        <f>D2+D3+D4+D5</f>
        <v/>
      </c>
      <c r="E17" s="9" t="inlineStr"/>
      <c r="F17" s="9" t="inlineStr"/>
      <c r="G17" s="9" t="inlineStr"/>
    </row>
    <row r="18">
      <c r="A18" s="9" t="inlineStr"/>
      <c r="B18" s="9" t="inlineStr">
        <is>
          <t>סה"כ גריעות</t>
        </is>
      </c>
      <c r="C18" s="9">
        <f>C7</f>
        <v/>
      </c>
      <c r="D18" s="9">
        <f>D7</f>
        <v/>
      </c>
      <c r="E18" s="9" t="inlineStr"/>
      <c r="F18" s="9" t="inlineStr"/>
      <c r="G18" s="9" t="inlineStr"/>
    </row>
    <row r="19">
      <c r="A19" s="9" t="inlineStr"/>
      <c r="B19" s="9" t="inlineStr">
        <is>
          <t>סה"כ הוצאות מאושרות</t>
        </is>
      </c>
      <c r="C19" s="10" t="n">
        <v>38</v>
      </c>
      <c r="D19" s="10" t="n">
        <v>228000</v>
      </c>
      <c r="E19" s="9" t="inlineStr"/>
      <c r="F19" s="9" t="inlineStr">
        <is>
          <t>33 + 5 ש"ש</t>
        </is>
      </c>
      <c r="G19" s="9" t="inlineStr"/>
    </row>
    <row r="20">
      <c r="A20" s="9" t="inlineStr"/>
      <c r="B20" s="9" t="inlineStr">
        <is>
          <t>סה"כ הוצאות בבדיקה</t>
        </is>
      </c>
      <c r="C20" s="9" t="inlineStr">
        <is>
          <t>~160</t>
        </is>
      </c>
      <c r="D20" s="9" t="inlineStr"/>
      <c r="E20" s="9" t="inlineStr"/>
      <c r="F20" s="9" t="inlineStr">
        <is>
          <t>70 + 60 + 30 ש"ש</t>
        </is>
      </c>
      <c r="G20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  <col width="18" customWidth="1" min="4" max="4"/>
    <col width="22" customWidth="1" min="5" max="5"/>
  </cols>
  <sheetData>
    <row r="1">
      <c r="A1" s="1" t="inlineStr">
        <is>
          <t>סוג</t>
        </is>
      </c>
      <c r="B1" s="1" t="inlineStr">
        <is>
          <t>שעות</t>
        </is>
      </c>
      <c r="C1" s="1" t="inlineStr">
        <is>
          <t>עובדים</t>
        </is>
      </c>
      <c r="D1" s="1" t="inlineStr">
        <is>
          <t>מקור תקציבי</t>
        </is>
      </c>
      <c r="E1" s="1" t="inlineStr">
        <is>
          <t>הערות</t>
        </is>
      </c>
    </row>
    <row r="2">
      <c r="A2" s="2" t="inlineStr">
        <is>
          <t>סל 103 שילוב</t>
        </is>
      </c>
      <c r="B2" s="2" t="n">
        <v>114</v>
      </c>
      <c r="C2" s="2" t="inlineStr">
        <is>
          <t>—</t>
        </is>
      </c>
      <c r="D2" s="2" t="inlineStr">
        <is>
          <t>קוד 1750</t>
        </is>
      </c>
      <c r="E2" s="2" t="inlineStr">
        <is>
          <t>סל שילוב מקורי</t>
        </is>
      </c>
    </row>
    <row r="3">
      <c r="A3" s="2" t="inlineStr">
        <is>
          <t>תוספתיות</t>
        </is>
      </c>
      <c r="B3" s="2" t="n">
        <v>50</v>
      </c>
      <c r="C3" s="2" t="inlineStr">
        <is>
          <t>—</t>
        </is>
      </c>
      <c r="D3" s="2" t="inlineStr">
        <is>
          <t>קוד 1750</t>
        </is>
      </c>
      <c r="E3" s="2" t="inlineStr">
        <is>
          <t>פעילות תוספתית</t>
        </is>
      </c>
    </row>
    <row r="4">
      <c r="A4" s="2" t="inlineStr">
        <is>
          <t>העברה מתקן</t>
        </is>
      </c>
      <c r="B4" s="2" t="n">
        <v>30</v>
      </c>
      <c r="C4" s="2" t="inlineStr">
        <is>
          <t>קוסקס, בנימין, רובבשי, שאזו</t>
        </is>
      </c>
      <c r="D4" s="2" t="inlineStr">
        <is>
          <t>תקן → חנ"מ</t>
        </is>
      </c>
      <c r="E4" s="2" t="inlineStr">
        <is>
          <t>טיוטה פבר' 2026</t>
        </is>
      </c>
    </row>
    <row r="5">
      <c r="A5" s="11" t="inlineStr">
        <is>
          <t>סה"כ סל</t>
        </is>
      </c>
      <c r="B5" s="11">
        <f>B2+B3+B4</f>
        <v/>
      </c>
      <c r="C5" s="11" t="inlineStr">
        <is>
          <t>—</t>
        </is>
      </c>
      <c r="D5" s="11" t="inlineStr">
        <is>
          <t>—</t>
        </is>
      </c>
      <c r="E5" s="11" t="inlineStr">
        <is>
          <t>—</t>
        </is>
      </c>
    </row>
    <row r="6">
      <c r="A6" s="4" t="inlineStr"/>
      <c r="B6" s="4" t="inlineStr"/>
      <c r="C6" s="4" t="inlineStr"/>
      <c r="D6" s="4" t="inlineStr"/>
      <c r="E6" s="4" t="inlineStr"/>
    </row>
    <row r="7">
      <c r="A7" s="7" t="inlineStr">
        <is>
          <t>ניצול: מינהל + אפקטיביים</t>
        </is>
      </c>
      <c r="B7" s="7" t="n">
        <v>54.5</v>
      </c>
      <c r="C7" s="7" t="inlineStr">
        <is>
          <t>אדלר, חרירי, אסרף, דרעי, טננבאום, גולן</t>
        </is>
      </c>
      <c r="D7" s="7" t="inlineStr">
        <is>
          <t>סל שילוב</t>
        </is>
      </c>
      <c r="E7" s="7" t="inlineStr"/>
    </row>
    <row r="8">
      <c r="A8" s="7" t="inlineStr">
        <is>
          <t>ניצול: תוספתיות</t>
        </is>
      </c>
      <c r="B8" s="7" t="n">
        <v>20</v>
      </c>
      <c r="C8" s="7" t="inlineStr">
        <is>
          <t>לרדן, כהן אדיר</t>
        </is>
      </c>
      <c r="D8" s="7" t="inlineStr">
        <is>
          <t>מעורב</t>
        </is>
      </c>
      <c r="E8" s="7" t="inlineStr"/>
    </row>
    <row r="9">
      <c r="A9" s="7" t="inlineStr">
        <is>
          <t>ניצול: פרויקטים 51120</t>
        </is>
      </c>
      <c r="B9" s="7" t="n">
        <v>20</v>
      </c>
      <c r="C9" s="7" t="inlineStr">
        <is>
          <t>קליין מאי, מגדלור, אלון רז</t>
        </is>
      </c>
      <c r="D9" s="7" t="inlineStr">
        <is>
          <t>סל שילוב</t>
        </is>
      </c>
      <c r="E9" s="7" t="inlineStr"/>
    </row>
    <row r="10">
      <c r="A10" s="7" t="inlineStr">
        <is>
          <t>ניצול: שמעון כהן</t>
        </is>
      </c>
      <c r="B10" s="7" t="n">
        <v>27</v>
      </c>
      <c r="C10" s="7" t="inlineStr">
        <is>
          <t>שמעון כהן</t>
        </is>
      </c>
      <c r="D10" s="7" t="inlineStr">
        <is>
          <t>הסבה מהוראה</t>
        </is>
      </c>
      <c r="E10" s="7" t="inlineStr">
        <is>
          <t>135% משרה</t>
        </is>
      </c>
    </row>
    <row r="11">
      <c r="A11" s="11" t="inlineStr">
        <is>
          <t>סה"כ ניצול</t>
        </is>
      </c>
      <c r="B11" s="11">
        <f>B7+B8+B9+B10</f>
        <v/>
      </c>
      <c r="C11" s="11" t="inlineStr">
        <is>
          <t>—</t>
        </is>
      </c>
      <c r="D11" s="11" t="inlineStr">
        <is>
          <t>—</t>
        </is>
      </c>
      <c r="E11" s="11" t="inlineStr"/>
    </row>
    <row r="12">
      <c r="A12" s="11" t="inlineStr">
        <is>
          <t>יתרה צפויה</t>
        </is>
      </c>
      <c r="B12" s="11">
        <f>B5-B11</f>
        <v/>
      </c>
      <c r="C12" s="11" t="inlineStr">
        <is>
          <t>—</t>
        </is>
      </c>
      <c r="D12" s="11" t="inlineStr">
        <is>
          <t>—</t>
        </is>
      </c>
      <c r="E12" s="11" t="inlineStr">
        <is>
          <t>~435,000 ש"ח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4" customWidth="1" min="4" max="4"/>
  </cols>
  <sheetData>
    <row r="1">
      <c r="A1" s="1" t="inlineStr">
        <is>
          <t>תאריך</t>
        </is>
      </c>
      <c r="B1" s="1" t="inlineStr">
        <is>
          <t>פעולה</t>
        </is>
      </c>
      <c r="C1" s="1" t="inlineStr">
        <is>
          <t>סכום</t>
        </is>
      </c>
      <c r="D1" s="1" t="inlineStr">
        <is>
          <t>סטטוס</t>
        </is>
      </c>
    </row>
    <row r="2">
      <c r="A2" s="4" t="inlineStr">
        <is>
          <t>31.12.25</t>
        </is>
      </c>
      <c r="B2" s="4" t="inlineStr">
        <is>
          <t>אישור תקצוב משרד העבודה</t>
        </is>
      </c>
      <c r="C2" s="4" t="n">
        <v>91360</v>
      </c>
      <c r="D2" s="2" t="inlineStr">
        <is>
          <t>אושר</t>
        </is>
      </c>
    </row>
    <row r="3">
      <c r="A3" s="4" t="inlineStr">
        <is>
          <t>11.1.26</t>
        </is>
      </c>
      <c r="B3" s="4" t="inlineStr">
        <is>
          <t>מייטל שלחה תוכנית שיפוצים</t>
        </is>
      </c>
      <c r="C3" s="4" t="inlineStr"/>
      <c r="D3" s="5" t="inlineStr">
        <is>
          <t>בוטל</t>
        </is>
      </c>
    </row>
    <row r="4">
      <c r="A4" s="4" t="inlineStr">
        <is>
          <t>12.1.26</t>
        </is>
      </c>
      <c r="B4" s="4" t="inlineStr">
        <is>
          <t>טליה ברקוביץ: להפנות לצנרת</t>
        </is>
      </c>
      <c r="C4" s="4" t="inlineStr"/>
      <c r="D4" s="7" t="inlineStr">
        <is>
          <t>ממתין</t>
        </is>
      </c>
    </row>
    <row r="5">
      <c r="A5" s="4" t="inlineStr">
        <is>
          <t>11.3.26</t>
        </is>
      </c>
      <c r="B5" s="4" t="inlineStr">
        <is>
          <t>שלומית שגיב מבקשת תוכנית + אישור מפקח</t>
        </is>
      </c>
      <c r="C5" s="4" t="inlineStr"/>
      <c r="D5" s="7" t="inlineStr">
        <is>
          <t>ממתין</t>
        </is>
      </c>
    </row>
    <row r="6">
      <c r="A6" s="4" t="inlineStr">
        <is>
          <t>17.3.26</t>
        </is>
      </c>
      <c r="B6" s="4" t="inlineStr">
        <is>
          <t>מייטל: מחכה לעלויות אינסטלציה</t>
        </is>
      </c>
      <c r="C6" s="4" t="inlineStr"/>
      <c r="D6" s="7" t="inlineStr">
        <is>
          <t>פתוח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2026-03-30T08:37:58Z</dcterms:created>
  <dcterms:modified xsi:type="dcterms:W3CDTF">2026-03-30T08:37:58Z</dcterms:modified>
</cp:coreProperties>
</file>